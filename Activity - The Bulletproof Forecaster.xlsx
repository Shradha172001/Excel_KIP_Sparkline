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1F767C39-5545-4B44-A18A-A6E8466DDD79}" xr6:coauthVersionLast="47" xr6:coauthVersionMax="47" xr10:uidLastSave="{00000000-0000-0000-0000-000000000000}"/>
  <bookViews>
    <workbookView xWindow="-108" yWindow="-108" windowWidth="23256" windowHeight="12456" xr2:uid="{A00A47D2-33F3-4AF3-B179-10BB25F10C25}"/>
  </bookViews>
  <sheets>
    <sheet name="Sheet1" sheetId="1" r:id="rId1"/>
    <sheet name="Sheet2" sheetId="2" r:id="rId2"/>
  </sheets>
  <definedNames>
    <definedName name="Slicer_Department1">#N/A</definedName>
  </definedNames>
  <calcPr calcId="191029"/>
  <pivotCaches>
    <pivotCache cacheId="1" r:id="rId3"/>
  </pivotCaches>
  <fileRecoveryPr repairLoad="1"/>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2" l="1"/>
</calcChain>
</file>

<file path=xl/sharedStrings.xml><?xml version="1.0" encoding="utf-8"?>
<sst xmlns="http://schemas.openxmlformats.org/spreadsheetml/2006/main" count="43" uniqueCount="26">
  <si>
    <t>Department</t>
  </si>
  <si>
    <t>Expense_Category</t>
  </si>
  <si>
    <t>Date</t>
  </si>
  <si>
    <t>Actual_Cost</t>
  </si>
  <si>
    <t>Marketing</t>
  </si>
  <si>
    <t>Social Ads</t>
  </si>
  <si>
    <t>Influencers</t>
  </si>
  <si>
    <t>IT</t>
  </si>
  <si>
    <t>Software Licenses</t>
  </si>
  <si>
    <t>HR</t>
  </si>
  <si>
    <t>Recruiting</t>
  </si>
  <si>
    <t>Sales</t>
  </si>
  <si>
    <t>Travel</t>
  </si>
  <si>
    <t>Server Maintenance</t>
  </si>
  <si>
    <t>Events</t>
  </si>
  <si>
    <t>Client Dinner</t>
  </si>
  <si>
    <t>Training</t>
  </si>
  <si>
    <t>Hardware</t>
  </si>
  <si>
    <t>Conferences</t>
  </si>
  <si>
    <t>Print Ads</t>
  </si>
  <si>
    <t>Team Building</t>
  </si>
  <si>
    <t>Cloud Storage</t>
  </si>
  <si>
    <t>Row Labels</t>
  </si>
  <si>
    <t>Grand Total</t>
  </si>
  <si>
    <t>Sum of Actual_Cost</t>
  </si>
  <si>
    <t>Enter the Expence: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</si>
</sst>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applyProtection="1">
      <protection locked="0"/>
    </xf>
    <xf numFmtId="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[Activity - The Bulletproof Forecaster.xlsx]Sheet2!PivotTable2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multiLvlStrRef>
              <c:f>Sheet2!$A$2:$A$7</c:f>
              <c:multiLvlStrCache>
                <c:ptCount val="4"/>
                <c:lvl>
                  <c:pt idx="0">
                    <c:v>Cloud Storage</c:v>
                  </c:pt>
                  <c:pt idx="1">
                    <c:v>Hardware</c:v>
                  </c:pt>
                  <c:pt idx="2">
                    <c:v>Server Maintenance</c:v>
                  </c:pt>
                  <c:pt idx="3">
                    <c:v>Software Licenses</c:v>
                  </c:pt>
                </c:lvl>
                <c:lvl>
                  <c:pt idx="0">
                    <c:v>IT</c:v>
                  </c:pt>
                </c:lvl>
              </c:multiLvlStrCache>
            </c:multiLvlStrRef>
          </c:cat>
          <c:val>
            <c:numRef>
              <c:f>Sheet2!$B$2:$B$7</c:f>
              <c:numCache>
                <c:formatCode>General</c:formatCode>
                <c:ptCount val="4"/>
                <c:pt idx="0">
                  <c:v>1100</c:v>
                </c:pt>
                <c:pt idx="1">
                  <c:v>4500</c:v>
                </c:pt>
                <c:pt idx="2">
                  <c:v>1500</c:v>
                </c:pt>
                <c:pt idx="3">
                  <c:v>8000</c:v>
                </c:pt>
              </c:numCache>
            </c:numRef>
          </c:val>
          <c:extLst>
            <c:ext xmlns:c16="http://schemas.microsoft.com/office/drawing/2014/chart" uri="{C3380CC4-5D6E-409C-BE32-E72D297353CC}">
              <c16:uniqueId val="{00000013-E82A-4D83-9046-BFBC1A062F02}"/>
            </c:ext>
          </c:extLst>
        </c:ser>
        <c:dLbls>
          <c:showLegendKey val="0"/>
          <c:showVal val="0"/>
          <c:showCatName val="0"/>
          <c:showSerName val="0"/>
          <c:showPercent val="0"/>
          <c:showBubbleSize val="0"/>
        </c:dLbls>
        <c:gapWidth val="219"/>
        <c:overlap val="-27"/>
        <c:axId val="137173487"/>
        <c:axId val="137208047"/>
      </c:barChart>
      <c:catAx>
        <c:axId val="13717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08047"/>
        <c:crosses val="autoZero"/>
        <c:auto val="1"/>
        <c:lblAlgn val="ctr"/>
        <c:lblOffset val="100"/>
        <c:noMultiLvlLbl val="0"/>
      </c:catAx>
      <c:valAx>
        <c:axId val="13720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6350</xdr:colOff>
      <xdr:row>4</xdr:row>
      <xdr:rowOff>0</xdr:rowOff>
    </xdr:from>
    <xdr:to>
      <xdr:col>20</xdr:col>
      <xdr:colOff>146050</xdr:colOff>
      <xdr:row>21</xdr:row>
      <xdr:rowOff>25400</xdr:rowOff>
    </xdr:to>
    <xdr:sp macro="" textlink="">
      <xdr:nvSpPr>
        <xdr:cNvPr id="3" name="TextBox 2">
          <a:extLst>
            <a:ext uri="{FF2B5EF4-FFF2-40B4-BE49-F238E27FC236}">
              <a16:creationId xmlns:a16="http://schemas.microsoft.com/office/drawing/2014/main" id="{8A81AF17-7133-40EC-B76F-075BF3DE3465}"/>
            </a:ext>
          </a:extLst>
        </xdr:cNvPr>
        <xdr:cNvSpPr txBox="1"/>
      </xdr:nvSpPr>
      <xdr:spPr>
        <a:xfrm>
          <a:off x="8007350" y="731520"/>
          <a:ext cx="6235700" cy="3134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Activity: "The Bulletproof Forecaster"</a:t>
          </a:r>
        </a:p>
        <a:p>
          <a:r>
            <a:rPr lang="en-IN" b="1"/>
            <a:t>Objective:</a:t>
          </a:r>
          <a:r>
            <a:rPr lang="en-IN"/>
            <a:t> You are building a Budget Dashboard for the VP of Finance. </a:t>
          </a:r>
          <a:r>
            <a:rPr lang="en-IN" b="1"/>
            <a:t>The Constraint:</a:t>
          </a:r>
          <a:r>
            <a:rPr lang="en-IN"/>
            <a:t> The VP needs to be able to:</a:t>
          </a:r>
        </a:p>
        <a:p>
          <a:r>
            <a:rPr lang="en-IN" b="1"/>
            <a:t>1. </a:t>
          </a:r>
          <a:r>
            <a:rPr lang="en-IN"/>
            <a:t>Filter by </a:t>
          </a:r>
          <a:r>
            <a:rPr lang="en-IN" b="1"/>
            <a:t>Department</a:t>
          </a:r>
          <a:r>
            <a:rPr lang="en-IN"/>
            <a:t> (using a Slicer).</a:t>
          </a:r>
        </a:p>
        <a:p>
          <a:r>
            <a:rPr lang="en-IN" b="1"/>
            <a:t>2. </a:t>
          </a:r>
          <a:r>
            <a:rPr lang="en-IN"/>
            <a:t>Type in a </a:t>
          </a:r>
          <a:r>
            <a:rPr lang="en-IN" b="1"/>
            <a:t>"Budget Limit"</a:t>
          </a:r>
          <a:r>
            <a:rPr lang="en-IN"/>
            <a:t> to see if teams are overspending.</a:t>
          </a:r>
        </a:p>
        <a:p>
          <a:r>
            <a:rPr lang="en-IN" b="1"/>
            <a:t>3. CRITICAL:</a:t>
          </a:r>
          <a:r>
            <a:rPr lang="en-IN"/>
            <a:t> They must NOT be able to delete your formulas or move your charts.</a:t>
          </a:r>
        </a:p>
        <a:p>
          <a:r>
            <a:rPr lang="en-IN"/>
            <a:t>Trade computers with a partner and perform the "VP Test."</a:t>
          </a:r>
        </a:p>
        <a:p>
          <a:r>
            <a:rPr lang="en-IN" b="1"/>
            <a:t>Test 1 (The Input):</a:t>
          </a:r>
          <a:r>
            <a:rPr lang="en-IN"/>
            <a:t> Try to change the Yellow Budget Cell to 1000.</a:t>
          </a:r>
        </a:p>
        <a:p>
          <a:pPr lvl="1"/>
          <a:r>
            <a:rPr lang="en-IN" i="1"/>
            <a:t>Pass:</a:t>
          </a:r>
          <a:r>
            <a:rPr lang="en-IN"/>
            <a:t> It lets you type, and the "OVER/UNDER" status updates.</a:t>
          </a:r>
        </a:p>
        <a:p>
          <a:pPr lvl="1"/>
          <a:r>
            <a:rPr lang="en-IN" i="1"/>
            <a:t>Fail:</a:t>
          </a:r>
          <a:r>
            <a:rPr lang="en-IN"/>
            <a:t> Excel gives you an error message.</a:t>
          </a:r>
        </a:p>
        <a:p>
          <a:r>
            <a:rPr lang="en-IN" b="1"/>
            <a:t>Test 2 (The Slicer):</a:t>
          </a:r>
          <a:r>
            <a:rPr lang="en-IN"/>
            <a:t> Click "IT" on the Slicer.</a:t>
          </a:r>
        </a:p>
        <a:p>
          <a:pPr lvl="1"/>
          <a:r>
            <a:rPr lang="en-IN" i="1"/>
            <a:t>Pass:</a:t>
          </a:r>
          <a:r>
            <a:rPr lang="en-IN"/>
            <a:t> The Chart updates to show IT expenses.</a:t>
          </a:r>
        </a:p>
        <a:p>
          <a:pPr lvl="1"/>
          <a:r>
            <a:rPr lang="en-IN" i="1"/>
            <a:t>Fail:</a:t>
          </a:r>
          <a:r>
            <a:rPr lang="en-IN"/>
            <a:t> The Slicer is frozen.</a:t>
          </a:r>
        </a:p>
        <a:p>
          <a:r>
            <a:rPr lang="en-IN" b="1"/>
            <a:t>Test 3 (The Bulletproof Check):</a:t>
          </a:r>
          <a:r>
            <a:rPr lang="en-IN"/>
            <a:t> Try to delete the Chart or the Formula in E2.</a:t>
          </a:r>
        </a:p>
        <a:p>
          <a:pPr lvl="1"/>
          <a:r>
            <a:rPr lang="en-IN" i="1"/>
            <a:t>Pass:</a:t>
          </a:r>
          <a:r>
            <a:rPr lang="en-IN"/>
            <a:t> You cannot select them.</a:t>
          </a:r>
        </a:p>
        <a:p>
          <a:pPr lvl="1"/>
          <a:r>
            <a:rPr lang="en-IN" i="1"/>
            <a:t>Fail:</a:t>
          </a:r>
          <a:r>
            <a:rPr lang="en-IN"/>
            <a:t> You deleted the work.</a:t>
          </a:r>
        </a:p>
        <a:p>
          <a:r>
            <a:rPr lang="en-IN" b="1"/>
            <a:t>Job Reality:</a:t>
          </a:r>
          <a:r>
            <a:rPr lang="en-IN"/>
            <a:t> "If you send a tool to a manager and they break it, </a:t>
          </a:r>
          <a:r>
            <a:rPr lang="en-IN" i="1"/>
            <a:t>you</a:t>
          </a:r>
          <a:r>
            <a:rPr lang="en-IN"/>
            <a:t> are the one who has to fix it. Bulletproof your sheets."</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13996</xdr:colOff>
      <xdr:row>10</xdr:row>
      <xdr:rowOff>181560</xdr:rowOff>
    </xdr:from>
    <xdr:to>
      <xdr:col>9</xdr:col>
      <xdr:colOff>672582</xdr:colOff>
      <xdr:row>25</xdr:row>
      <xdr:rowOff>181560</xdr:rowOff>
    </xdr:to>
    <xdr:graphicFrame macro="">
      <xdr:nvGraphicFramePr>
        <xdr:cNvPr id="2" name="Chart 1">
          <a:extLst>
            <a:ext uri="{FF2B5EF4-FFF2-40B4-BE49-F238E27FC236}">
              <a16:creationId xmlns:a16="http://schemas.microsoft.com/office/drawing/2014/main" id="{5A2AAE93-A2FD-DBF4-8CDA-ACBD77F53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69202</xdr:colOff>
      <xdr:row>1</xdr:row>
      <xdr:rowOff>107615</xdr:rowOff>
    </xdr:from>
    <xdr:to>
      <xdr:col>9</xdr:col>
      <xdr:colOff>143847</xdr:colOff>
      <xdr:row>9</xdr:row>
      <xdr:rowOff>160955</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BF72CC57-C588-EC3D-AFE8-019CF7056BB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5815304" y="294227"/>
              <a:ext cx="1824135" cy="1546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02.643800578706" createdVersion="8" refreshedVersion="8" minRefreshableVersion="3" recordCount="15" xr:uid="{86668C2B-B650-4AD9-8B7A-3BB7B42E5399}">
  <cacheSource type="worksheet">
    <worksheetSource name="Table1"/>
  </cacheSource>
  <cacheFields count="4">
    <cacheField name="Department" numFmtId="0">
      <sharedItems count="4">
        <s v="Marketing"/>
        <s v="IT"/>
        <s v="HR"/>
        <s v="Sales"/>
      </sharedItems>
    </cacheField>
    <cacheField name="Expense_Category" numFmtId="0">
      <sharedItems count="14">
        <s v="Social Ads"/>
        <s v="Influencers"/>
        <s v="Software Licenses"/>
        <s v="Recruiting"/>
        <s v="Travel"/>
        <s v="Server Maintenance"/>
        <s v="Events"/>
        <s v="Client Dinner"/>
        <s v="Training"/>
        <s v="Hardware"/>
        <s v="Conferences"/>
        <s v="Print Ads"/>
        <s v="Team Building"/>
        <s v="Cloud Storage"/>
      </sharedItems>
    </cacheField>
    <cacheField name="Date" numFmtId="14">
      <sharedItems containsSemiMixedTypes="0" containsNonDate="0" containsDate="1" containsString="0" minDate="2024-01-05T00:00:00" maxDate="2024-03-31T00:00:00"/>
    </cacheField>
    <cacheField name="Actual_Cost" numFmtId="0">
      <sharedItems containsSemiMixedTypes="0" containsString="0" containsNumber="1" containsInteger="1" minValue="800" maxValue="8000"/>
    </cacheField>
  </cacheFields>
  <extLst>
    <ext xmlns:x14="http://schemas.microsoft.com/office/spreadsheetml/2009/9/main" uri="{725AE2AE-9491-48be-B2B4-4EB974FC3084}">
      <x14:pivotCacheDefinition pivotCacheId="1573522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d v="2024-01-05T00:00:00"/>
    <n v="1200"/>
  </r>
  <r>
    <x v="0"/>
    <x v="1"/>
    <d v="2024-01-12T00:00:00"/>
    <n v="4500"/>
  </r>
  <r>
    <x v="1"/>
    <x v="2"/>
    <d v="2024-01-15T00:00:00"/>
    <n v="8000"/>
  </r>
  <r>
    <x v="2"/>
    <x v="3"/>
    <d v="2024-01-20T00:00:00"/>
    <n v="2500"/>
  </r>
  <r>
    <x v="3"/>
    <x v="4"/>
    <d v="2024-02-01T00:00:00"/>
    <n v="3200"/>
  </r>
  <r>
    <x v="1"/>
    <x v="5"/>
    <d v="2024-02-10T00:00:00"/>
    <n v="1500"/>
  </r>
  <r>
    <x v="0"/>
    <x v="6"/>
    <d v="2024-02-15T00:00:00"/>
    <n v="6000"/>
  </r>
  <r>
    <x v="3"/>
    <x v="7"/>
    <d v="2024-02-22T00:00:00"/>
    <n v="800"/>
  </r>
  <r>
    <x v="2"/>
    <x v="8"/>
    <d v="2024-03-01T00:00:00"/>
    <n v="1200"/>
  </r>
  <r>
    <x v="1"/>
    <x v="9"/>
    <d v="2024-03-05T00:00:00"/>
    <n v="4500"/>
  </r>
  <r>
    <x v="3"/>
    <x v="10"/>
    <d v="2024-03-10T00:00:00"/>
    <n v="2100"/>
  </r>
  <r>
    <x v="0"/>
    <x v="11"/>
    <d v="2024-03-15T00:00:00"/>
    <n v="900"/>
  </r>
  <r>
    <x v="2"/>
    <x v="12"/>
    <d v="2024-03-20T00:00:00"/>
    <n v="1500"/>
  </r>
  <r>
    <x v="3"/>
    <x v="4"/>
    <d v="2024-03-25T00:00:00"/>
    <n v="2800"/>
  </r>
  <r>
    <x v="1"/>
    <x v="13"/>
    <d v="2024-03-30T00:00:00"/>
    <n v="1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562895-7189-4300-A6D4-2A67FA059A3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4">
    <pivotField axis="axisRow" showAll="0">
      <items count="5">
        <item h="1" x="2"/>
        <item x="1"/>
        <item h="1" x="0"/>
        <item h="1" x="3"/>
        <item t="default"/>
      </items>
    </pivotField>
    <pivotField axis="axisRow" showAll="0">
      <items count="15">
        <item x="7"/>
        <item x="13"/>
        <item x="10"/>
        <item x="6"/>
        <item x="9"/>
        <item x="1"/>
        <item x="11"/>
        <item x="3"/>
        <item x="5"/>
        <item x="0"/>
        <item x="2"/>
        <item x="12"/>
        <item x="8"/>
        <item x="4"/>
        <item t="default"/>
      </items>
    </pivotField>
    <pivotField numFmtId="14" showAll="0"/>
    <pivotField dataField="1" showAll="0"/>
  </pivotFields>
  <rowFields count="2">
    <field x="0"/>
    <field x="1"/>
  </rowFields>
  <rowItems count="6">
    <i>
      <x v="1"/>
    </i>
    <i r="1">
      <x v="1"/>
    </i>
    <i r="1">
      <x v="4"/>
    </i>
    <i r="1">
      <x v="8"/>
    </i>
    <i r="1">
      <x v="10"/>
    </i>
    <i t="grand">
      <x/>
    </i>
  </rowItems>
  <colItems count="1">
    <i/>
  </colItems>
  <dataFields count="1">
    <dataField name="Sum of Actual_Cost" fld="3" baseField="0" baseItem="0"/>
  </dataFields>
  <chartFormats count="8">
    <chartFormat chart="0" format="22" series="1">
      <pivotArea type="data" outline="0" fieldPosition="0">
        <references count="1">
          <reference field="0" count="1" selected="0">
            <x v="2"/>
          </reference>
        </references>
      </pivotArea>
    </chartFormat>
    <chartFormat chart="0" format="23" series="1">
      <pivotArea type="data" outline="0" fieldPosition="0">
        <references count="1">
          <reference field="0" count="1" selected="0">
            <x v="3"/>
          </reference>
        </references>
      </pivotArea>
    </chartFormat>
    <chartFormat chart="0" format="24" series="1">
      <pivotArea type="data" outline="0" fieldPosition="0">
        <references count="1">
          <reference field="0" count="1" selected="0">
            <x v="1"/>
          </reference>
        </references>
      </pivotArea>
    </chartFormat>
    <chartFormat chart="0" format="25" series="1">
      <pivotArea type="data" outline="0" fieldPosition="0">
        <references count="2">
          <reference field="4294967294" count="1" selected="0">
            <x v="0"/>
          </reference>
          <reference field="0" count="1" selected="0">
            <x v="0"/>
          </reference>
        </references>
      </pivotArea>
    </chartFormat>
    <chartFormat chart="0" format="26" series="1">
      <pivotArea type="data" outline="0" fieldPosition="0">
        <references count="2">
          <reference field="4294967294" count="1" selected="0">
            <x v="0"/>
          </reference>
          <reference field="0" count="1" selected="0">
            <x v="1"/>
          </reference>
        </references>
      </pivotArea>
    </chartFormat>
    <chartFormat chart="0" format="27" series="1">
      <pivotArea type="data" outline="0" fieldPosition="0">
        <references count="2">
          <reference field="4294967294" count="1" selected="0">
            <x v="0"/>
          </reference>
          <reference field="0" count="1" selected="0">
            <x v="2"/>
          </reference>
        </references>
      </pivotArea>
    </chartFormat>
    <chartFormat chart="0" format="28" series="1">
      <pivotArea type="data" outline="0" fieldPosition="0">
        <references count="2">
          <reference field="4294967294" count="1" selected="0">
            <x v="0"/>
          </reference>
          <reference field="0" count="1" selected="0">
            <x v="3"/>
          </reference>
        </references>
      </pivotArea>
    </chartFormat>
    <chartFormat chart="0" format="2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0DA1E89-3BBB-47F5-B866-C7736AF34910}" sourceName="Department">
  <pivotTables>
    <pivotTable tabId="2" name="PivotTable2"/>
  </pivotTables>
  <data>
    <tabular pivotCacheId="1573522801">
      <items count="4">
        <i x="2"/>
        <i x="1" s="1"/>
        <i x="0"/>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EA1D539-9E1C-449D-83E6-4E1815D1CFE6}" cache="Slicer_Department1"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B7A2A9-B86C-4F58-B13C-D860A32C8BE0}" name="Table1" displayName="Table1" ref="A1:D16" totalsRowShown="0">
  <autoFilter ref="A1:D16" xr:uid="{EE91E9CA-5EE7-4B89-A369-78AA7DF376F9}"/>
  <tableColumns count="4">
    <tableColumn id="1" xr3:uid="{8BB161BC-8514-4953-B237-5C9C7ED95483}" name="Department"/>
    <tableColumn id="2" xr3:uid="{574E61F3-3B4E-4095-862C-0F47AC1C0614}" name="Expense_Category"/>
    <tableColumn id="3" xr3:uid="{3A859C0F-0628-415F-9F78-199631FAE070}" name="Date" dataDxfId="0"/>
    <tableColumn id="4" xr3:uid="{EDB08108-CDE3-4D59-8B8A-48559B96F7D8}" name="Actual_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4D47E-20CF-498C-A9B3-8D9FFD1EDEAB}">
  <dimension ref="A1:D16"/>
  <sheetViews>
    <sheetView tabSelected="1" workbookViewId="0">
      <selection activeCell="H11" sqref="H11"/>
    </sheetView>
  </sheetViews>
  <sheetFormatPr defaultRowHeight="14.4" x14ac:dyDescent="0.3"/>
  <cols>
    <col min="1" max="1" width="13.109375" customWidth="1"/>
    <col min="2" max="2" width="18.21875" customWidth="1"/>
    <col min="3" max="3" width="10.33203125" bestFit="1" customWidth="1"/>
    <col min="4" max="4" width="12.77734375" customWidth="1"/>
  </cols>
  <sheetData>
    <row r="1" spans="1:4" x14ac:dyDescent="0.3">
      <c r="A1" t="s">
        <v>0</v>
      </c>
      <c r="B1" t="s">
        <v>1</v>
      </c>
      <c r="C1" t="s">
        <v>2</v>
      </c>
      <c r="D1" t="s">
        <v>3</v>
      </c>
    </row>
    <row r="2" spans="1:4" x14ac:dyDescent="0.3">
      <c r="A2" t="s">
        <v>4</v>
      </c>
      <c r="B2" t="s">
        <v>5</v>
      </c>
      <c r="C2" s="1">
        <v>45296</v>
      </c>
      <c r="D2">
        <v>1200</v>
      </c>
    </row>
    <row r="3" spans="1:4" x14ac:dyDescent="0.3">
      <c r="A3" t="s">
        <v>4</v>
      </c>
      <c r="B3" t="s">
        <v>6</v>
      </c>
      <c r="C3" s="1">
        <v>45303</v>
      </c>
      <c r="D3">
        <v>4500</v>
      </c>
    </row>
    <row r="4" spans="1:4" x14ac:dyDescent="0.3">
      <c r="A4" t="s">
        <v>7</v>
      </c>
      <c r="B4" t="s">
        <v>8</v>
      </c>
      <c r="C4" s="1">
        <v>45306</v>
      </c>
      <c r="D4">
        <v>8000</v>
      </c>
    </row>
    <row r="5" spans="1:4" x14ac:dyDescent="0.3">
      <c r="A5" t="s">
        <v>9</v>
      </c>
      <c r="B5" t="s">
        <v>10</v>
      </c>
      <c r="C5" s="1">
        <v>45311</v>
      </c>
      <c r="D5">
        <v>2500</v>
      </c>
    </row>
    <row r="6" spans="1:4" x14ac:dyDescent="0.3">
      <c r="A6" t="s">
        <v>11</v>
      </c>
      <c r="B6" t="s">
        <v>12</v>
      </c>
      <c r="C6" s="1">
        <v>45323</v>
      </c>
      <c r="D6">
        <v>3200</v>
      </c>
    </row>
    <row r="7" spans="1:4" x14ac:dyDescent="0.3">
      <c r="A7" t="s">
        <v>7</v>
      </c>
      <c r="B7" t="s">
        <v>13</v>
      </c>
      <c r="C7" s="1">
        <v>45332</v>
      </c>
      <c r="D7">
        <v>1500</v>
      </c>
    </row>
    <row r="8" spans="1:4" x14ac:dyDescent="0.3">
      <c r="A8" t="s">
        <v>4</v>
      </c>
      <c r="B8" t="s">
        <v>14</v>
      </c>
      <c r="C8" s="1">
        <v>45337</v>
      </c>
      <c r="D8">
        <v>6000</v>
      </c>
    </row>
    <row r="9" spans="1:4" x14ac:dyDescent="0.3">
      <c r="A9" t="s">
        <v>11</v>
      </c>
      <c r="B9" t="s">
        <v>15</v>
      </c>
      <c r="C9" s="1">
        <v>45344</v>
      </c>
      <c r="D9">
        <v>800</v>
      </c>
    </row>
    <row r="10" spans="1:4" x14ac:dyDescent="0.3">
      <c r="A10" t="s">
        <v>9</v>
      </c>
      <c r="B10" t="s">
        <v>16</v>
      </c>
      <c r="C10" s="1">
        <v>45352</v>
      </c>
      <c r="D10">
        <v>1200</v>
      </c>
    </row>
    <row r="11" spans="1:4" x14ac:dyDescent="0.3">
      <c r="A11" t="s">
        <v>7</v>
      </c>
      <c r="B11" t="s">
        <v>17</v>
      </c>
      <c r="C11" s="1">
        <v>45356</v>
      </c>
      <c r="D11">
        <v>4500</v>
      </c>
    </row>
    <row r="12" spans="1:4" x14ac:dyDescent="0.3">
      <c r="A12" t="s">
        <v>11</v>
      </c>
      <c r="B12" t="s">
        <v>18</v>
      </c>
      <c r="C12" s="1">
        <v>45361</v>
      </c>
      <c r="D12">
        <v>2100</v>
      </c>
    </row>
    <row r="13" spans="1:4" x14ac:dyDescent="0.3">
      <c r="A13" t="s">
        <v>4</v>
      </c>
      <c r="B13" t="s">
        <v>19</v>
      </c>
      <c r="C13" s="1">
        <v>45366</v>
      </c>
      <c r="D13">
        <v>900</v>
      </c>
    </row>
    <row r="14" spans="1:4" x14ac:dyDescent="0.3">
      <c r="A14" t="s">
        <v>9</v>
      </c>
      <c r="B14" t="s">
        <v>20</v>
      </c>
      <c r="C14" s="1">
        <v>45371</v>
      </c>
      <c r="D14">
        <v>1500</v>
      </c>
    </row>
    <row r="15" spans="1:4" x14ac:dyDescent="0.3">
      <c r="A15" t="s">
        <v>11</v>
      </c>
      <c r="B15" t="s">
        <v>12</v>
      </c>
      <c r="C15" s="1">
        <v>45376</v>
      </c>
      <c r="D15">
        <v>2800</v>
      </c>
    </row>
    <row r="16" spans="1:4" x14ac:dyDescent="0.3">
      <c r="A16" t="s">
        <v>7</v>
      </c>
      <c r="B16" t="s">
        <v>21</v>
      </c>
      <c r="C16" s="1">
        <v>45381</v>
      </c>
      <c r="D16">
        <v>1100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4375-A211-441A-BFD5-4F71F0133E12}">
  <dimension ref="A1:B14"/>
  <sheetViews>
    <sheetView zoomScale="98" workbookViewId="0">
      <selection activeCell="B13" sqref="B13"/>
    </sheetView>
  </sheetViews>
  <sheetFormatPr defaultRowHeight="14.4" x14ac:dyDescent="0.3"/>
  <cols>
    <col min="1" max="1" width="21.77734375" bestFit="1" customWidth="1"/>
    <col min="2" max="2" width="18" bestFit="1" customWidth="1"/>
    <col min="3" max="3" width="6.109375" bestFit="1" customWidth="1"/>
    <col min="4" max="4" width="9.88671875" bestFit="1" customWidth="1"/>
    <col min="5" max="5" width="5.33203125" bestFit="1" customWidth="1"/>
    <col min="6" max="6" width="11" bestFit="1" customWidth="1"/>
    <col min="7" max="7" width="11.6640625" bestFit="1" customWidth="1"/>
    <col min="8" max="8" width="14.5546875" bestFit="1" customWidth="1"/>
    <col min="9" max="9" width="11" bestFit="1" customWidth="1"/>
    <col min="10" max="10" width="18.109375" bestFit="1" customWidth="1"/>
    <col min="11" max="11" width="9.44140625" bestFit="1" customWidth="1"/>
    <col min="12" max="12" width="16" bestFit="1" customWidth="1"/>
    <col min="13" max="13" width="12.88671875" bestFit="1" customWidth="1"/>
    <col min="14" max="14" width="7.77734375" bestFit="1" customWidth="1"/>
    <col min="15" max="15" width="6.109375" bestFit="1" customWidth="1"/>
    <col min="16" max="16" width="10.77734375" bestFit="1" customWidth="1"/>
  </cols>
  <sheetData>
    <row r="1" spans="1:2" x14ac:dyDescent="0.3">
      <c r="A1" s="2" t="s">
        <v>22</v>
      </c>
      <c r="B1" t="s">
        <v>24</v>
      </c>
    </row>
    <row r="2" spans="1:2" x14ac:dyDescent="0.3">
      <c r="A2" s="3" t="s">
        <v>7</v>
      </c>
      <c r="B2" s="6">
        <v>15100</v>
      </c>
    </row>
    <row r="3" spans="1:2" x14ac:dyDescent="0.3">
      <c r="A3" s="4" t="s">
        <v>21</v>
      </c>
      <c r="B3" s="6">
        <v>1100</v>
      </c>
    </row>
    <row r="4" spans="1:2" x14ac:dyDescent="0.3">
      <c r="A4" s="4" t="s">
        <v>17</v>
      </c>
      <c r="B4" s="6">
        <v>4500</v>
      </c>
    </row>
    <row r="5" spans="1:2" x14ac:dyDescent="0.3">
      <c r="A5" s="4" t="s">
        <v>13</v>
      </c>
      <c r="B5" s="6">
        <v>1500</v>
      </c>
    </row>
    <row r="6" spans="1:2" x14ac:dyDescent="0.3">
      <c r="A6" s="4" t="s">
        <v>8</v>
      </c>
      <c r="B6" s="6">
        <v>8000</v>
      </c>
    </row>
    <row r="7" spans="1:2" x14ac:dyDescent="0.3">
      <c r="A7" s="3" t="s">
        <v>23</v>
      </c>
      <c r="B7" s="6">
        <v>15100</v>
      </c>
    </row>
    <row r="13" spans="1:2" x14ac:dyDescent="0.3">
      <c r="A13" t="s">
        <v>25</v>
      </c>
      <c r="B13" s="5">
        <v>0</v>
      </c>
    </row>
    <row r="14" spans="1:2" x14ac:dyDescent="0.3">
      <c r="B14" t="str">
        <f>IF(B13&gt;GETPIVOTDATA("Actual_Cost",$A$1),"OverSpending","UnderSpending")</f>
        <v>UnderSpending</v>
      </c>
    </row>
  </sheetData>
  <sheetProtection algorithmName="SHA-512" hashValue="b/aPZmQUKhxqmY7yk7ICyr8uO+7uQAm1H6w+Lv7xS1v3wbgXFHSV8Xm/3z/KT8LkdZJLrwFIeUMkXlBduRKGhg==" saltValue="e5T4li8oyziogbqbvG3l0A==" spinCount="100000" sheet="1" objects="1" scenarios="1" selectLockedCells="1" autoFilter="0"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Tushar Gilbile</cp:lastModifiedBy>
  <dcterms:created xsi:type="dcterms:W3CDTF">2025-12-04T07:14:34Z</dcterms:created>
  <dcterms:modified xsi:type="dcterms:W3CDTF">2025-12-11T14:10:42Z</dcterms:modified>
</cp:coreProperties>
</file>